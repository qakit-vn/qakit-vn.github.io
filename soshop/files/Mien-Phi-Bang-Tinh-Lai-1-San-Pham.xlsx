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nhL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C2410C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EF9C3"/>
      </patternFill>
    </fill>
    <fill>
      <patternFill patternType="solid">
        <fgColor rgb="00EA58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3" fontId="0" fillId="2" borderId="0" pivotButton="0" quotePrefix="0" xfId="0"/>
    <xf numFmtId="0" fontId="2" fillId="3" borderId="0" applyAlignment="1" pivotButton="0" quotePrefix="0" xfId="0">
      <alignment wrapText="1"/>
    </xf>
    <xf numFmtId="0" fontId="0" fillId="2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14" customWidth="1" min="4" max="4"/>
    <col width="14" customWidth="1" min="5" max="5"/>
    <col width="9" customWidth="1" min="6" max="6"/>
    <col width="14" customWidth="1" min="7" max="7"/>
    <col width="14" customWidth="1" min="8" max="8"/>
  </cols>
  <sheetData>
    <row r="1">
      <c r="A1" s="1" t="inlineStr">
        <is>
          <t>Bảng tính lãi thực 1 sản phẩm theo kênh (bản miễn phí) · Sổ Shop Online</t>
        </is>
      </c>
    </row>
    <row r="2">
      <c r="A2" t="inlineStr">
        <is>
          <t>Ô vàng là ô bạn nhập. Lấy % phí đúng ngành hàng trong Kênh Người Bán. Bản đầy đủ: https://soshop-vn.surge.sh/</t>
        </is>
      </c>
    </row>
    <row r="4">
      <c r="A4" t="inlineStr">
        <is>
          <t>Giá vốn (đ)</t>
        </is>
      </c>
      <c r="B4" s="2" t="n">
        <v>60000</v>
      </c>
    </row>
    <row r="5">
      <c r="A5" t="inlineStr">
        <is>
          <t>Chi phí đóng gói/đơn (đ)</t>
        </is>
      </c>
      <c r="B5" s="2" t="n">
        <v>3000</v>
      </c>
    </row>
    <row r="6">
      <c r="A6" t="inlineStr">
        <is>
          <t>Lãi mong muốn/đơn (đ)</t>
        </is>
      </c>
      <c r="B6" s="2" t="n">
        <v>30000</v>
      </c>
    </row>
    <row r="8">
      <c r="A8" s="3" t="inlineStr">
        <is>
          <t>Kênh</t>
        </is>
      </c>
      <c r="B8" s="3" t="inlineStr">
        <is>
          <t>Giá bán đang đặt</t>
        </is>
      </c>
      <c r="C8" s="3" t="inlineStr">
        <is>
          <t>Tổng % phí + thuế</t>
        </is>
      </c>
      <c r="D8" s="3" t="inlineStr">
        <is>
          <t>Phí cố định/đơn</t>
        </is>
      </c>
      <c r="E8" s="3" t="inlineStr">
        <is>
          <t>Lãi thực/đơn</t>
        </is>
      </c>
      <c r="F8" s="3" t="inlineStr">
        <is>
          <t>% lãi</t>
        </is>
      </c>
      <c r="G8" s="3" t="inlineStr">
        <is>
          <t>Giá hòa vốn</t>
        </is>
      </c>
      <c r="H8" s="3" t="inlineStr">
        <is>
          <t>Giá nên đặt</t>
        </is>
      </c>
    </row>
    <row r="9">
      <c r="A9" t="inlineStr">
        <is>
          <t>Shopee</t>
        </is>
      </c>
      <c r="B9" s="2" t="n">
        <v>129000</v>
      </c>
      <c r="C9" s="4" t="n">
        <v>0</v>
      </c>
      <c r="D9" s="2" t="n">
        <v>0</v>
      </c>
      <c r="E9" s="5">
        <f>B9-$B$4-$B$5-D9-B9*C9/100</f>
        <v/>
      </c>
      <c r="F9" s="6">
        <f>IF(B9=0,"",E9/B9)</f>
        <v/>
      </c>
      <c r="G9" s="5">
        <f>($B$4+$B$5+D9)/(1-C9/100)</f>
        <v/>
      </c>
      <c r="H9" s="5">
        <f>ROUNDUP(($B$4+$B$5+D9+$B$6)/(1-C9/100),-3)</f>
        <v/>
      </c>
    </row>
    <row r="10">
      <c r="A10" t="inlineStr">
        <is>
          <t>TikTok Shop</t>
        </is>
      </c>
      <c r="B10" s="2" t="n">
        <v>129000</v>
      </c>
      <c r="C10" s="4" t="n">
        <v>0</v>
      </c>
      <c r="D10" s="2" t="n">
        <v>0</v>
      </c>
      <c r="E10" s="5">
        <f>B10-$B$4-$B$5-D10-B10*C10/100</f>
        <v/>
      </c>
      <c r="F10" s="6">
        <f>IF(B10=0,"",E10/B10)</f>
        <v/>
      </c>
      <c r="G10" s="5">
        <f>($B$4+$B$5+D10)/(1-C10/100)</f>
        <v/>
      </c>
      <c r="H10" s="5">
        <f>ROUNDUP(($B$4+$B$5+D10+$B$6)/(1-C10/100),-3)</f>
        <v/>
      </c>
    </row>
    <row r="11">
      <c r="A11" t="inlineStr">
        <is>
          <t>Lazada</t>
        </is>
      </c>
      <c r="B11" s="2" t="n">
        <v>129000</v>
      </c>
      <c r="C11" s="4" t="n">
        <v>0</v>
      </c>
      <c r="D11" s="2" t="n">
        <v>0</v>
      </c>
      <c r="E11" s="5">
        <f>B11-$B$4-$B$5-D11-B11*C11/100</f>
        <v/>
      </c>
      <c r="F11" s="6">
        <f>IF(B11=0,"",E11/B11)</f>
        <v/>
      </c>
      <c r="G11" s="5">
        <f>($B$4+$B$5+D11)/(1-C11/100)</f>
        <v/>
      </c>
      <c r="H11" s="5">
        <f>ROUNDUP(($B$4+$B$5+D11+$B$6)/(1-C11/100),-3)</f>
        <v/>
      </c>
    </row>
    <row r="12">
      <c r="A12" t="inlineStr">
        <is>
          <t>Facebook/Zalo</t>
        </is>
      </c>
      <c r="B12" s="2" t="n">
        <v>129000</v>
      </c>
      <c r="C12" s="4" t="n">
        <v>1.5</v>
      </c>
      <c r="D12" s="2" t="n">
        <v>0</v>
      </c>
      <c r="E12" s="5">
        <f>B12-$B$4-$B$5-D12-B12*C12/100</f>
        <v/>
      </c>
      <c r="F12" s="6">
        <f>IF(B12=0,"",E12/B12)</f>
        <v/>
      </c>
      <c r="G12" s="5">
        <f>($B$4+$B$5+D12)/(1-C12/100)</f>
        <v/>
      </c>
      <c r="H12" s="5">
        <f>ROUNDUP(($B$4+$B$5+D12+$B$6)/(1-C12/100),-3)</f>
        <v/>
      </c>
    </row>
    <row r="14">
      <c r="A14" t="inlineStr">
        <is>
          <t>% phí trong file đặt 0 vì phí mỗi ngành hàng khác nhau và thay đổi theo thời gian. Hãy tự điền.</t>
        </is>
      </c>
    </row>
  </sheetData>
  <conditionalFormatting sqref="E9:E12">
    <cfRule type="expression" priority="1" dxfId="0">
      <formula>E9&lt;0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2026-10-25T07:42:19Z</dcterms:created>
  <dcterms:modified xmlns:dcterms="http://purl.org/dc/terms/" xmlns:xsi="http://www.w3.org/2001/XMLSchema-instance" xsi:type="dcterms:W3CDTF">2026-10-25T07:42:19Z</dcterms:modified>
</cp:coreProperties>
</file>