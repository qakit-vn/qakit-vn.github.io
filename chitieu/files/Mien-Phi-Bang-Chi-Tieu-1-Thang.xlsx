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TieuTh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766E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FEF9C3"/>
      </patternFill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3" fontId="0" fillId="2" borderId="0" pivotButton="0" quotePrefix="0" xfId="0"/>
    <xf numFmtId="0" fontId="2" fillId="3" borderId="0" applyAlignment="1" pivotButton="0" quotePrefix="0" xfId="0">
      <alignment wrapText="1"/>
    </xf>
    <xf numFmtId="0" fontId="0" fillId="2" borderId="0" pivotButton="0" quotePrefix="0" xfId="0"/>
    <xf numFmtId="3" fontId="0" fillId="0" borderId="0" pivotButton="0" quotePrefix="0" xfId="0"/>
    <xf numFmtId="9" fontId="0" fillId="0" borderId="0" pivotButton="0" quotePrefix="0" xfId="0"/>
    <xf numFmtId="0" fontId="3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9" customWidth="1" min="9" max="9"/>
  </cols>
  <sheetData>
    <row r="1">
      <c r="A1" s="1" t="inlineStr">
        <is>
          <t>Bảng chi tiêu 1 tháng (bản miễn phí) · Sổ Chi Tiêu Gia Đình</t>
        </is>
      </c>
    </row>
    <row r="2">
      <c r="A2" t="inlineStr">
        <is>
          <t>Nhập thu nhập và ngân sách (ô vàng), ghi tổng chi từng danh mục mỗi tuần. Bản đầy đủ 12 tháng: https://chitieu-vn.surge.sh/</t>
        </is>
      </c>
    </row>
    <row r="4">
      <c r="A4" t="inlineStr">
        <is>
          <t>Thu nhập tháng (đ)</t>
        </is>
      </c>
      <c r="B4" s="2" t="n">
        <v>20000000</v>
      </c>
    </row>
    <row r="6">
      <c r="A6" s="3" t="inlineStr">
        <is>
          <t>Danh mục</t>
        </is>
      </c>
      <c r="B6" s="3" t="inlineStr">
        <is>
          <t>Ngân sách</t>
        </is>
      </c>
      <c r="C6" s="3" t="inlineStr">
        <is>
          <t>Tuần 1</t>
        </is>
      </c>
      <c r="D6" s="3" t="inlineStr">
        <is>
          <t>Tuần 2</t>
        </is>
      </c>
      <c r="E6" s="3" t="inlineStr">
        <is>
          <t>Tuần 3</t>
        </is>
      </c>
      <c r="F6" s="3" t="inlineStr">
        <is>
          <t>Tuần 4</t>
        </is>
      </c>
      <c r="G6" s="3" t="inlineStr">
        <is>
          <t>Thực chi</t>
        </is>
      </c>
      <c r="H6" s="3" t="inlineStr">
        <is>
          <t>Còn lại</t>
        </is>
      </c>
      <c r="I6" s="3" t="inlineStr">
        <is>
          <t>% dùng</t>
        </is>
      </c>
    </row>
    <row r="7">
      <c r="A7" s="4" t="inlineStr">
        <is>
          <t>Ăn uống</t>
        </is>
      </c>
      <c r="B7" s="2" t="n">
        <v>6000000</v>
      </c>
      <c r="C7" s="2" t="n"/>
      <c r="D7" s="2" t="n"/>
      <c r="E7" s="2" t="n"/>
      <c r="F7" s="2" t="n"/>
      <c r="G7" s="5">
        <f>SUM(C7:F7)</f>
        <v/>
      </c>
      <c r="H7" s="5">
        <f>B7-G7</f>
        <v/>
      </c>
      <c r="I7" s="6">
        <f>IF(B7=0,"",G7/B7)</f>
        <v/>
      </c>
    </row>
    <row r="8">
      <c r="A8" s="4" t="inlineStr">
        <is>
          <t>Nhà ở, điện nước</t>
        </is>
      </c>
      <c r="B8" s="2" t="n">
        <v>4000000</v>
      </c>
      <c r="C8" s="2" t="n"/>
      <c r="D8" s="2" t="n"/>
      <c r="E8" s="2" t="n"/>
      <c r="F8" s="2" t="n"/>
      <c r="G8" s="5">
        <f>SUM(C8:F8)</f>
        <v/>
      </c>
      <c r="H8" s="5">
        <f>B8-G8</f>
        <v/>
      </c>
      <c r="I8" s="6">
        <f>IF(B8=0,"",G8/B8)</f>
        <v/>
      </c>
    </row>
    <row r="9">
      <c r="A9" s="4" t="inlineStr">
        <is>
          <t>Đi lại</t>
        </is>
      </c>
      <c r="B9" s="2" t="n">
        <v>1200000</v>
      </c>
      <c r="C9" s="2" t="n"/>
      <c r="D9" s="2" t="n"/>
      <c r="E9" s="2" t="n"/>
      <c r="F9" s="2" t="n"/>
      <c r="G9" s="5">
        <f>SUM(C9:F9)</f>
        <v/>
      </c>
      <c r="H9" s="5">
        <f>B9-G9</f>
        <v/>
      </c>
      <c r="I9" s="6">
        <f>IF(B9=0,"",G9/B9)</f>
        <v/>
      </c>
    </row>
    <row r="10">
      <c r="A10" s="4" t="inlineStr">
        <is>
          <t>Con cái, học phí</t>
        </is>
      </c>
      <c r="B10" s="2" t="n">
        <v>3000000</v>
      </c>
      <c r="C10" s="2" t="n"/>
      <c r="D10" s="2" t="n"/>
      <c r="E10" s="2" t="n"/>
      <c r="F10" s="2" t="n"/>
      <c r="G10" s="5">
        <f>SUM(C10:F10)</f>
        <v/>
      </c>
      <c r="H10" s="5">
        <f>B10-G10</f>
        <v/>
      </c>
      <c r="I10" s="6">
        <f>IF(B10=0,"",G10/B10)</f>
        <v/>
      </c>
    </row>
    <row r="11">
      <c r="A11" s="4" t="inlineStr">
        <is>
          <t>Sức khỏe</t>
        </is>
      </c>
      <c r="B11" s="2" t="n">
        <v>800000</v>
      </c>
      <c r="C11" s="2" t="n"/>
      <c r="D11" s="2" t="n"/>
      <c r="E11" s="2" t="n"/>
      <c r="F11" s="2" t="n"/>
      <c r="G11" s="5">
        <f>SUM(C11:F11)</f>
        <v/>
      </c>
      <c r="H11" s="5">
        <f>B11-G11</f>
        <v/>
      </c>
      <c r="I11" s="6">
        <f>IF(B11=0,"",G11/B11)</f>
        <v/>
      </c>
    </row>
    <row r="12">
      <c r="A12" s="4" t="inlineStr">
        <is>
          <t>Mua sắm</t>
        </is>
      </c>
      <c r="B12" s="2" t="n">
        <v>1500000</v>
      </c>
      <c r="C12" s="2" t="n"/>
      <c r="D12" s="2" t="n"/>
      <c r="E12" s="2" t="n"/>
      <c r="F12" s="2" t="n"/>
      <c r="G12" s="5">
        <f>SUM(C12:F12)</f>
        <v/>
      </c>
      <c r="H12" s="5">
        <f>B12-G12</f>
        <v/>
      </c>
      <c r="I12" s="6">
        <f>IF(B12=0,"",G12/B12)</f>
        <v/>
      </c>
    </row>
    <row r="13">
      <c r="A13" s="4" t="inlineStr">
        <is>
          <t>Hiếu hỉ</t>
        </is>
      </c>
      <c r="B13" s="2" t="n">
        <v>1000000</v>
      </c>
      <c r="C13" s="2" t="n"/>
      <c r="D13" s="2" t="n"/>
      <c r="E13" s="2" t="n"/>
      <c r="F13" s="2" t="n"/>
      <c r="G13" s="5">
        <f>SUM(C13:F13)</f>
        <v/>
      </c>
      <c r="H13" s="5">
        <f>B13-G13</f>
        <v/>
      </c>
      <c r="I13" s="6">
        <f>IF(B13=0,"",G13/B13)</f>
        <v/>
      </c>
    </row>
    <row r="14">
      <c r="A14" s="4" t="inlineStr">
        <is>
          <t>Giải trí</t>
        </is>
      </c>
      <c r="B14" s="2" t="n">
        <v>1000000</v>
      </c>
      <c r="C14" s="2" t="n"/>
      <c r="D14" s="2" t="n"/>
      <c r="E14" s="2" t="n"/>
      <c r="F14" s="2" t="n"/>
      <c r="G14" s="5">
        <f>SUM(C14:F14)</f>
        <v/>
      </c>
      <c r="H14" s="5">
        <f>B14-G14</f>
        <v/>
      </c>
      <c r="I14" s="6">
        <f>IF(B14=0,"",G14/B14)</f>
        <v/>
      </c>
    </row>
    <row r="15">
      <c r="A15" s="4" t="inlineStr">
        <is>
          <t>Tiết kiệm</t>
        </is>
      </c>
      <c r="B15" s="2" t="n">
        <v>1000000</v>
      </c>
      <c r="C15" s="2" t="n"/>
      <c r="D15" s="2" t="n"/>
      <c r="E15" s="2" t="n"/>
      <c r="F15" s="2" t="n"/>
      <c r="G15" s="5">
        <f>SUM(C15:F15)</f>
        <v/>
      </c>
      <c r="H15" s="5">
        <f>B15-G15</f>
        <v/>
      </c>
      <c r="I15" s="6">
        <f>IF(B15=0,"",G15/B15)</f>
        <v/>
      </c>
    </row>
    <row r="16">
      <c r="A16" s="4" t="inlineStr">
        <is>
          <t>Khác</t>
        </is>
      </c>
      <c r="B16" s="2" t="n">
        <v>500000</v>
      </c>
      <c r="C16" s="2" t="n"/>
      <c r="D16" s="2" t="n"/>
      <c r="E16" s="2" t="n"/>
      <c r="F16" s="2" t="n"/>
      <c r="G16" s="5">
        <f>SUM(C16:F16)</f>
        <v/>
      </c>
      <c r="H16" s="5">
        <f>B16-G16</f>
        <v/>
      </c>
      <c r="I16" s="6">
        <f>IF(B16=0,"",G16/B16)</f>
        <v/>
      </c>
    </row>
    <row r="17">
      <c r="A17" s="7" t="inlineStr">
        <is>
          <t>Tổng</t>
        </is>
      </c>
      <c r="B17" s="8">
        <f>SUM(B7:B16)</f>
        <v/>
      </c>
      <c r="G17" s="8">
        <f>SUM(G7:G16)</f>
        <v/>
      </c>
      <c r="H17" s="8">
        <f>B17-G17</f>
        <v/>
      </c>
    </row>
    <row r="18">
      <c r="A18" s="7" t="inlineStr">
        <is>
          <t>Thu nhập − thực chi</t>
        </is>
      </c>
      <c r="B18" s="8">
        <f>B4-G17</f>
        <v/>
      </c>
    </row>
  </sheetData>
  <conditionalFormatting sqref="I7:I16">
    <cfRule type="expression" priority="1" dxfId="0">
      <formula>AND(I7&lt;&gt;"",I7&gt;1)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2026-10-25T07:42:19Z</dcterms:created>
  <dcterms:modified xmlns:dcterms="http://purl.org/dc/terms/" xmlns:xsi="http://www.w3.org/2001/XMLSchema-instance" xsi:type="dcterms:W3CDTF">2026-10-25T07:42:19Z</dcterms:modified>
</cp:coreProperties>
</file>